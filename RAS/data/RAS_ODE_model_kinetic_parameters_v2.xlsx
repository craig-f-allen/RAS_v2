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T and Mutant multipliers" sheetId="1" state="visible" r:id="rId3"/>
    <sheet name="Parameter descriptions" sheetId="2" state="visible" r:id="rId4"/>
  </sheets>
  <definedNames>
    <definedName function="false" hidden="false" name="m" vbProcedure="false">'WT and Mutant multipliers'!$Q$5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4" authorId="0">
      <text>
        <r>
          <rPr>
            <sz val="10"/>
            <rFont val="Arial"/>
            <family val="2"/>
          </rPr>
          <t xml:space="preserve">Craig Allen:
</t>
        </r>
        <r>
          <rPr>
            <sz val="9"/>
            <color rgb="FF000000"/>
            <rFont val="Tahoma"/>
            <family val="0"/>
            <charset val="1"/>
          </rPr>
          <t xml:space="preserve">&lt;100 ? Using 100 but is that right?</t>
        </r>
      </text>
    </comment>
    <comment ref="Q11" authorId="0">
      <text>
        <r>
          <rPr>
            <sz val="10"/>
            <rFont val="Arial"/>
            <family val="2"/>
          </rPr>
          <t xml:space="preserve">Some of these could be from the papers above</t>
        </r>
      </text>
    </comment>
  </commentList>
</comments>
</file>

<file path=xl/sharedStrings.xml><?xml version="1.0" encoding="utf-8"?>
<sst xmlns="http://schemas.openxmlformats.org/spreadsheetml/2006/main" count="62" uniqueCount="48">
  <si>
    <t xml:space="preserve">KRAS WT or Mutant</t>
  </si>
  <si>
    <r>
      <rPr>
        <sz val="11"/>
        <color theme="1"/>
        <rFont val="Calibri"/>
        <family val="2"/>
        <charset val="1"/>
      </rPr>
      <t xml:space="preserve">k</t>
    </r>
    <r>
      <rPr>
        <vertAlign val="subscript"/>
        <sz val="11"/>
        <color theme="1"/>
        <rFont val="Calibri"/>
        <family val="2"/>
        <charset val="1"/>
      </rPr>
      <t xml:space="preserve">int</t>
    </r>
  </si>
  <si>
    <r>
      <rPr>
        <sz val="11"/>
        <color theme="1"/>
        <rFont val="Calibri"/>
        <family val="2"/>
        <charset val="1"/>
      </rPr>
      <t xml:space="preserve">k</t>
    </r>
    <r>
      <rPr>
        <vertAlign val="subscript"/>
        <sz val="11"/>
        <color theme="1"/>
        <rFont val="Calibri"/>
        <family val="2"/>
        <charset val="1"/>
      </rPr>
      <t xml:space="preserve">d,GDP</t>
    </r>
  </si>
  <si>
    <r>
      <rPr>
        <sz val="11"/>
        <color theme="1"/>
        <rFont val="Calibri"/>
        <family val="2"/>
        <charset val="1"/>
      </rPr>
      <t xml:space="preserve">k</t>
    </r>
    <r>
      <rPr>
        <vertAlign val="subscript"/>
        <sz val="11"/>
        <color theme="1"/>
        <rFont val="Calibri"/>
        <family val="2"/>
        <charset val="1"/>
      </rPr>
      <t xml:space="preserve">d,GTP</t>
    </r>
  </si>
  <si>
    <r>
      <rPr>
        <sz val="11"/>
        <color theme="1"/>
        <rFont val="Calibri"/>
        <family val="2"/>
        <charset val="1"/>
      </rPr>
      <t xml:space="preserve">k</t>
    </r>
    <r>
      <rPr>
        <vertAlign val="subscript"/>
        <sz val="11"/>
        <color theme="1"/>
        <rFont val="Calibri"/>
        <family val="2"/>
        <charset val="1"/>
      </rPr>
      <t xml:space="preserve">a,GDP</t>
    </r>
  </si>
  <si>
    <r>
      <rPr>
        <sz val="11"/>
        <color theme="1"/>
        <rFont val="Calibri"/>
        <family val="2"/>
        <charset val="1"/>
      </rPr>
      <t xml:space="preserve">k</t>
    </r>
    <r>
      <rPr>
        <vertAlign val="subscript"/>
        <sz val="11"/>
        <color theme="1"/>
        <rFont val="Calibri"/>
        <family val="2"/>
        <charset val="1"/>
      </rPr>
      <t xml:space="preserve">a,GTP</t>
    </r>
  </si>
  <si>
    <r>
      <rPr>
        <sz val="11"/>
        <color theme="1"/>
        <rFont val="Calibri"/>
        <family val="2"/>
        <charset val="1"/>
      </rPr>
      <t xml:space="preserve">k</t>
    </r>
    <r>
      <rPr>
        <vertAlign val="subscript"/>
        <sz val="11"/>
        <color theme="1"/>
        <rFont val="Calibri"/>
        <family val="2"/>
        <charset val="1"/>
      </rPr>
      <t xml:space="preserve">cat</t>
    </r>
  </si>
  <si>
    <r>
      <rPr>
        <sz val="11"/>
        <color theme="1"/>
        <rFont val="Calibri"/>
        <family val="2"/>
        <charset val="1"/>
      </rPr>
      <t xml:space="preserve">K</t>
    </r>
    <r>
      <rPr>
        <vertAlign val="subscript"/>
        <sz val="11"/>
        <color theme="1"/>
        <rFont val="Calibri"/>
        <family val="2"/>
        <charset val="1"/>
      </rPr>
      <t xml:space="preserve">M</t>
    </r>
  </si>
  <si>
    <r>
      <rPr>
        <sz val="11"/>
        <color theme="1"/>
        <rFont val="Calibri"/>
        <family val="2"/>
        <charset val="1"/>
      </rPr>
      <t xml:space="preserve">k</t>
    </r>
    <r>
      <rPr>
        <vertAlign val="subscript"/>
        <sz val="11"/>
        <color theme="1"/>
        <rFont val="Calibri"/>
        <family val="2"/>
        <charset val="1"/>
      </rPr>
      <t xml:space="preserve">GDP</t>
    </r>
  </si>
  <si>
    <r>
      <rPr>
        <sz val="11"/>
        <color theme="1"/>
        <rFont val="Calibri"/>
        <family val="2"/>
        <charset val="1"/>
      </rPr>
      <t xml:space="preserve">K</t>
    </r>
    <r>
      <rPr>
        <vertAlign val="subscript"/>
        <sz val="11"/>
        <color theme="1"/>
        <rFont val="Calibri"/>
        <family val="2"/>
        <charset val="1"/>
      </rPr>
      <t xml:space="preserve">M,GDP</t>
    </r>
  </si>
  <si>
    <r>
      <rPr>
        <sz val="11"/>
        <color theme="1"/>
        <rFont val="Calibri"/>
        <family val="2"/>
        <charset val="1"/>
      </rPr>
      <t xml:space="preserve">K</t>
    </r>
    <r>
      <rPr>
        <vertAlign val="subscript"/>
        <sz val="11"/>
        <color theme="1"/>
        <rFont val="Calibri"/>
        <family val="2"/>
        <charset val="1"/>
      </rPr>
      <t xml:space="preserve">M,GTP</t>
    </r>
  </si>
  <si>
    <r>
      <rPr>
        <sz val="11"/>
        <color theme="1"/>
        <rFont val="Calibri"/>
        <family val="2"/>
        <charset val="1"/>
      </rPr>
      <t xml:space="preserve">k</t>
    </r>
    <r>
      <rPr>
        <vertAlign val="subscript"/>
        <sz val="11"/>
        <color theme="1"/>
        <rFont val="Calibri"/>
        <family val="2"/>
        <charset val="1"/>
      </rPr>
      <t xml:space="preserve">GTP</t>
    </r>
  </si>
  <si>
    <r>
      <rPr>
        <sz val="11"/>
        <color theme="1"/>
        <rFont val="Calibri"/>
        <family val="2"/>
        <charset val="1"/>
      </rPr>
      <t xml:space="preserve">K</t>
    </r>
    <r>
      <rPr>
        <vertAlign val="subscript"/>
        <sz val="11"/>
        <color theme="1"/>
        <rFont val="Calibri"/>
        <family val="2"/>
        <charset val="1"/>
      </rPr>
      <t xml:space="preserve">D</t>
    </r>
  </si>
  <si>
    <r>
      <rPr>
        <sz val="11"/>
        <color theme="1"/>
        <rFont val="Calibri"/>
        <family val="2"/>
        <charset val="1"/>
      </rPr>
      <t xml:space="preserve">k</t>
    </r>
    <r>
      <rPr>
        <vertAlign val="subscript"/>
        <sz val="11"/>
        <color theme="1"/>
        <rFont val="Calibri"/>
        <family val="2"/>
        <charset val="1"/>
      </rPr>
      <t xml:space="preserve">a,Eff</t>
    </r>
  </si>
  <si>
    <r>
      <rPr>
        <sz val="11"/>
        <color theme="1"/>
        <rFont val="Calibri"/>
        <family val="2"/>
        <charset val="1"/>
      </rPr>
      <t xml:space="preserve">k</t>
    </r>
    <r>
      <rPr>
        <vertAlign val="subscript"/>
        <sz val="11"/>
        <color theme="1"/>
        <rFont val="Calibri"/>
        <family val="2"/>
        <charset val="1"/>
      </rPr>
      <t xml:space="preserve">d,Eff</t>
    </r>
  </si>
  <si>
    <t xml:space="preserve">WT</t>
  </si>
  <si>
    <t xml:space="preserve">A146T</t>
  </si>
  <si>
    <t xml:space="preserve">A146V</t>
  </si>
  <si>
    <r>
      <rPr>
        <sz val="11"/>
        <color theme="1"/>
        <rFont val="Calibri"/>
        <family val="2"/>
        <charset val="1"/>
      </rPr>
      <t xml:space="preserve">WT k</t>
    </r>
    <r>
      <rPr>
        <vertAlign val="subscript"/>
        <sz val="11"/>
        <color theme="1"/>
        <rFont val="Calibri"/>
        <family val="2"/>
        <charset val="1"/>
      </rPr>
      <t xml:space="preserve">int</t>
    </r>
    <r>
      <rPr>
        <sz val="11"/>
        <color theme="1"/>
        <rFont val="Calibri"/>
        <family val="2"/>
        <charset val="1"/>
      </rPr>
      <t xml:space="preserve"> / k</t>
    </r>
    <r>
      <rPr>
        <vertAlign val="subscript"/>
        <sz val="11"/>
        <color theme="1"/>
        <rFont val="Calibri"/>
        <family val="2"/>
        <charset val="1"/>
      </rPr>
      <t xml:space="preserve">cat </t>
    </r>
  </si>
  <si>
    <t xml:space="preserve">A59T</t>
  </si>
  <si>
    <t xml:space="preserve">F28L</t>
  </si>
  <si>
    <t xml:space="preserve">G12A</t>
  </si>
  <si>
    <t xml:space="preserve">key</t>
  </si>
  <si>
    <t xml:space="preserve">G12C</t>
  </si>
  <si>
    <t xml:space="preserve">Wey</t>
  </si>
  <si>
    <t xml:space="preserve">G12D</t>
  </si>
  <si>
    <t xml:space="preserve">Hunter Westover</t>
  </si>
  <si>
    <t xml:space="preserve">G12E</t>
  </si>
  <si>
    <t xml:space="preserve">Poulin</t>
  </si>
  <si>
    <t xml:space="preserve">G12P</t>
  </si>
  <si>
    <t xml:space="preserve">Unchanged from MATLAB</t>
  </si>
  <si>
    <t xml:space="preserve">G12R</t>
  </si>
  <si>
    <t xml:space="preserve">New, no info, set to WT</t>
  </si>
  <si>
    <t xml:space="preserve">G12S</t>
  </si>
  <si>
    <t xml:space="preserve">G12V</t>
  </si>
  <si>
    <t xml:space="preserve">G13C</t>
  </si>
  <si>
    <t xml:space="preserve">G13D</t>
  </si>
  <si>
    <t xml:space="preserve">G13S</t>
  </si>
  <si>
    <t xml:space="preserve">G13V</t>
  </si>
  <si>
    <t xml:space="preserve">Q61H</t>
  </si>
  <si>
    <t xml:space="preserve">Q61K</t>
  </si>
  <si>
    <t xml:space="preserve">Q61L</t>
  </si>
  <si>
    <t xml:space="preserve">Q61P</t>
  </si>
  <si>
    <t xml:space="preserve">Q61R</t>
  </si>
  <si>
    <t xml:space="preserve">Q61W</t>
  </si>
  <si>
    <t xml:space="preserve">Parameter</t>
  </si>
  <si>
    <t xml:space="preserve">Units</t>
  </si>
  <si>
    <t xml:space="preserve">Description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</si>
</sst>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#,##0.00000000000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vertAlign val="subscript"/>
      <sz val="11"/>
      <color theme="1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4EBDF"/>
        <bgColor rgb="FFE2F0D9"/>
      </patternFill>
    </fill>
    <fill>
      <patternFill patternType="solid">
        <fgColor theme="2"/>
        <bgColor rgb="FFE4EBDF"/>
      </patternFill>
    </fill>
    <fill>
      <patternFill patternType="solid">
        <fgColor theme="4" tint="0.7999"/>
        <bgColor rgb="FFE7E6E6"/>
      </patternFill>
    </fill>
    <fill>
      <patternFill patternType="solid">
        <fgColor theme="5" tint="0.7999"/>
        <bgColor rgb="FFE7E6E6"/>
      </patternFill>
    </fill>
    <fill>
      <patternFill patternType="solid">
        <fgColor theme="6" tint="0.7999"/>
        <bgColor rgb="FFE7E6E6"/>
      </patternFill>
    </fill>
    <fill>
      <patternFill patternType="solid">
        <fgColor theme="9" tint="0.7999"/>
        <bgColor rgb="FFE4EBD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 1" xfId="20"/>
    <cellStyle name="Style 2" xfId="21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E4EBD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F19" activeCellId="0" sqref="F19"/>
    </sheetView>
  </sheetViews>
  <sheetFormatPr defaultColWidth="10.16015625" defaultRowHeight="14.25" zeroHeight="false" outlineLevelRow="0" outlineLevelCol="0"/>
  <cols>
    <col collapsed="false" customWidth="true" hidden="false" outlineLevel="0" max="1" min="1" style="0" width="18.87"/>
    <col collapsed="false" customWidth="true" hidden="false" outlineLevel="0" max="2" min="2" style="0" width="13.29"/>
    <col collapsed="false" customWidth="true" hidden="false" outlineLevel="0" max="4" min="3" style="0" width="14.24"/>
    <col collapsed="false" customWidth="true" hidden="false" outlineLevel="0" max="7" min="5" style="0" width="13.29"/>
    <col collapsed="false" customWidth="true" hidden="false" outlineLevel="0" max="8" min="8" style="0" width="14.24"/>
    <col collapsed="false" customWidth="true" hidden="false" outlineLevel="0" max="15" min="9" style="0" width="13.29"/>
    <col collapsed="false" customWidth="true" hidden="false" outlineLevel="0" max="17" min="17" style="0" width="22.55"/>
  </cols>
  <sheetData>
    <row r="1" customFormat="false" ht="16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customFormat="false" ht="14.25" hidden="false" customHeight="false" outlineLevel="0" collapsed="false">
      <c r="A2" s="4" t="s">
        <v>15</v>
      </c>
      <c r="B2" s="5" t="n">
        <v>1</v>
      </c>
      <c r="C2" s="5" t="n">
        <v>1</v>
      </c>
      <c r="D2" s="5" t="n">
        <v>1</v>
      </c>
      <c r="E2" s="5" t="n">
        <v>1</v>
      </c>
      <c r="F2" s="5" t="n">
        <v>1</v>
      </c>
      <c r="G2" s="5" t="n">
        <v>1</v>
      </c>
      <c r="H2" s="5" t="n">
        <v>1</v>
      </c>
      <c r="I2" s="5" t="n">
        <v>1</v>
      </c>
      <c r="J2" s="5" t="n">
        <v>1</v>
      </c>
      <c r="K2" s="5" t="n">
        <v>1</v>
      </c>
      <c r="L2" s="5" t="n">
        <v>1</v>
      </c>
      <c r="M2" s="5" t="n">
        <v>1</v>
      </c>
      <c r="N2" s="5" t="n">
        <v>1</v>
      </c>
      <c r="O2" s="6" t="n">
        <v>1</v>
      </c>
    </row>
    <row r="3" customFormat="false" ht="14.25" hidden="false" customHeight="false" outlineLevel="0" collapsed="false">
      <c r="A3" s="4" t="s">
        <v>16</v>
      </c>
      <c r="B3" s="7" t="n">
        <f aca="false">1.9/2.1</f>
        <v>0.904761904761905</v>
      </c>
      <c r="C3" s="7" t="n">
        <f aca="false">9.7/1.2</f>
        <v>8.08333333333333</v>
      </c>
      <c r="D3" s="7" t="n">
        <f aca="false">8.1/0.9</f>
        <v>9</v>
      </c>
      <c r="E3" s="5" t="n">
        <f aca="false">244.9/0.51*(0.00011)/(0.0000000093*2300000)</f>
        <v>2.46945154873544</v>
      </c>
      <c r="F3" s="5" t="n">
        <f aca="false">(244.9/0.51)*(0.00025)/(0.0000000069*2200000)</f>
        <v>7.90836756309902</v>
      </c>
      <c r="G3" s="7" t="n">
        <f aca="false">B3*m</f>
        <v>5.27777777777778E-005</v>
      </c>
      <c r="H3" s="7" t="n">
        <f aca="false">10.7/8.9</f>
        <v>1.20224719101124</v>
      </c>
      <c r="I3" s="7" t="n">
        <f aca="false">8.2/7.8</f>
        <v>1.05128205128205</v>
      </c>
      <c r="J3" s="5" t="n">
        <v>1</v>
      </c>
      <c r="K3" s="5" t="n">
        <v>1</v>
      </c>
      <c r="L3" s="7" t="n">
        <f aca="false">8.1/7.2</f>
        <v>1.125</v>
      </c>
      <c r="M3" s="8" t="n">
        <f aca="false">12.9/17.3</f>
        <v>0.745664739884393</v>
      </c>
      <c r="N3" s="5" t="n">
        <v>1</v>
      </c>
      <c r="O3" s="6" t="n">
        <v>1</v>
      </c>
    </row>
    <row r="4" customFormat="false" ht="16.4" hidden="false" customHeight="false" outlineLevel="0" collapsed="false">
      <c r="A4" s="4" t="s">
        <v>17</v>
      </c>
      <c r="B4" s="7" t="n">
        <f aca="false">0.81/0.33</f>
        <v>2.45454545454545</v>
      </c>
      <c r="C4" s="7" t="n">
        <f aca="false">13.5/1.2</f>
        <v>11.25</v>
      </c>
      <c r="D4" s="7" t="n">
        <f aca="false">9.3/0.9</f>
        <v>10.3333333333333</v>
      </c>
      <c r="E4" s="9" t="n">
        <v>1</v>
      </c>
      <c r="F4" s="9" t="n">
        <v>1</v>
      </c>
      <c r="G4" s="7" t="n">
        <f aca="false">B4*m</f>
        <v>0.000143181818181818</v>
      </c>
      <c r="H4" s="7" t="n">
        <f aca="false">13.8/8.9</f>
        <v>1.55056179775281</v>
      </c>
      <c r="I4" s="7" t="n">
        <f aca="false">8.8/7.8</f>
        <v>1.12820512820513</v>
      </c>
      <c r="J4" s="9" t="n">
        <v>1</v>
      </c>
      <c r="K4" s="9" t="n">
        <v>1</v>
      </c>
      <c r="L4" s="7" t="n">
        <f aca="false">8.4/7.2</f>
        <v>1.16666666666667</v>
      </c>
      <c r="M4" s="9" t="n">
        <v>1</v>
      </c>
      <c r="N4" s="9" t="n">
        <v>1</v>
      </c>
      <c r="O4" s="6" t="n">
        <v>1</v>
      </c>
      <c r="Q4" s="10" t="s">
        <v>18</v>
      </c>
    </row>
    <row r="5" customFormat="false" ht="14.25" hidden="false" customHeight="false" outlineLevel="0" collapsed="false">
      <c r="A5" s="4" t="s">
        <v>19</v>
      </c>
      <c r="B5" s="11" t="n">
        <f aca="false">2.4/10.2</f>
        <v>0.235294117647059</v>
      </c>
      <c r="C5" s="11" t="n">
        <f aca="false">4.4/0.79</f>
        <v>5.56962025316456</v>
      </c>
      <c r="D5" s="11" t="n">
        <f aca="false">2.8/2.3</f>
        <v>1.21739130434783</v>
      </c>
      <c r="E5" s="5" t="n">
        <v>1</v>
      </c>
      <c r="F5" s="5" t="n">
        <v>1</v>
      </c>
      <c r="G5" s="5" t="n">
        <f aca="false">B5*m</f>
        <v>1.37254901960784E-005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6" t="n">
        <v>1</v>
      </c>
      <c r="Q5" s="12" t="n">
        <f aca="false">(0.000315)/5.4</f>
        <v>5.83333333333333E-005</v>
      </c>
    </row>
    <row r="6" customFormat="false" ht="14.25" hidden="false" customHeight="false" outlineLevel="0" collapsed="false">
      <c r="A6" s="4" t="s">
        <v>20</v>
      </c>
      <c r="B6" s="5" t="n">
        <v>1</v>
      </c>
      <c r="C6" s="5" t="n">
        <v>25</v>
      </c>
      <c r="D6" s="5" t="n">
        <v>25</v>
      </c>
      <c r="E6" s="5" t="n">
        <v>1</v>
      </c>
      <c r="F6" s="5" t="n">
        <v>1</v>
      </c>
      <c r="G6" s="5" t="n">
        <v>1</v>
      </c>
      <c r="H6" s="5" t="n">
        <v>1</v>
      </c>
      <c r="I6" s="5" t="n">
        <v>1</v>
      </c>
      <c r="J6" s="5" t="n">
        <v>1</v>
      </c>
      <c r="K6" s="5" t="n">
        <v>1</v>
      </c>
      <c r="L6" s="5" t="n">
        <v>1</v>
      </c>
      <c r="M6" s="5" t="n">
        <v>1</v>
      </c>
      <c r="N6" s="5" t="n">
        <v>1</v>
      </c>
      <c r="O6" s="6" t="n">
        <v>1</v>
      </c>
    </row>
    <row r="7" customFormat="false" ht="14.25" hidden="false" customHeight="false" outlineLevel="0" collapsed="false">
      <c r="A7" s="4" t="s">
        <v>21</v>
      </c>
      <c r="B7" s="7" t="n">
        <f aca="false">0.5/2.1</f>
        <v>0.238095238095238</v>
      </c>
      <c r="C7" s="7" t="n">
        <f aca="false">0.5/1.3</f>
        <v>0.384615384615385</v>
      </c>
      <c r="D7" s="7" t="n">
        <f aca="false">0.9/0.9</f>
        <v>1</v>
      </c>
      <c r="E7" s="9" t="n">
        <v>1</v>
      </c>
      <c r="F7" s="9" t="n">
        <v>1</v>
      </c>
      <c r="G7" s="7" t="n">
        <f aca="false">B7*m</f>
        <v>1.38888888888889E-005</v>
      </c>
      <c r="H7" s="7" t="n">
        <f aca="false">46.8/8.9</f>
        <v>5.25842696629213</v>
      </c>
      <c r="I7" s="7" t="n">
        <f aca="false">7.3/7.8</f>
        <v>0.935897435897436</v>
      </c>
      <c r="J7" s="9" t="n">
        <v>1</v>
      </c>
      <c r="K7" s="9" t="n">
        <v>1</v>
      </c>
      <c r="L7" s="7" t="n">
        <f aca="false">7.5/7.2</f>
        <v>1.04166666666667</v>
      </c>
      <c r="M7" s="13" t="n">
        <f aca="false">127/56</f>
        <v>2.26785714285714</v>
      </c>
      <c r="N7" s="9" t="n">
        <v>1</v>
      </c>
      <c r="O7" s="6" t="n">
        <v>1</v>
      </c>
      <c r="Q7" s="14" t="s">
        <v>22</v>
      </c>
    </row>
    <row r="8" customFormat="false" ht="14.25" hidden="false" customHeight="false" outlineLevel="0" collapsed="false">
      <c r="A8" s="4" t="s">
        <v>23</v>
      </c>
      <c r="B8" s="7" t="n">
        <f aca="false">1.8/2.1</f>
        <v>0.857142857142857</v>
      </c>
      <c r="C8" s="7" t="n">
        <f aca="false">2.2/1.2</f>
        <v>1.83333333333333</v>
      </c>
      <c r="D8" s="7" t="n">
        <f aca="false">0.6/0.9</f>
        <v>0.666666666666667</v>
      </c>
      <c r="E8" s="5" t="n">
        <v>1</v>
      </c>
      <c r="F8" s="5" t="n">
        <v>1</v>
      </c>
      <c r="G8" s="7" t="n">
        <f aca="false">B8*m</f>
        <v>5E-005</v>
      </c>
      <c r="H8" s="7" t="n">
        <f aca="false">12.3/8.9</f>
        <v>1.38202247191011</v>
      </c>
      <c r="I8" s="7" t="n">
        <f aca="false">8.2/7.8</f>
        <v>1.05128205128205</v>
      </c>
      <c r="J8" s="5" t="n">
        <v>1</v>
      </c>
      <c r="K8" s="5" t="n">
        <v>1</v>
      </c>
      <c r="L8" s="7" t="n">
        <f aca="false">7.4/7.2</f>
        <v>1.02777777777778</v>
      </c>
      <c r="M8" s="13" t="n">
        <f aca="false">67/56</f>
        <v>1.19642857142857</v>
      </c>
      <c r="N8" s="5" t="n">
        <v>1</v>
      </c>
      <c r="O8" s="6" t="n">
        <v>1</v>
      </c>
      <c r="Q8" s="15" t="s">
        <v>24</v>
      </c>
    </row>
    <row r="9" customFormat="false" ht="14.25" hidden="false" customHeight="false" outlineLevel="0" collapsed="false">
      <c r="A9" s="4" t="s">
        <v>25</v>
      </c>
      <c r="B9" s="7" t="n">
        <f aca="false">1.4/2.1</f>
        <v>0.666666666666667</v>
      </c>
      <c r="C9" s="7" t="n">
        <f aca="false">1.6/1.2</f>
        <v>1.33333333333333</v>
      </c>
      <c r="D9" s="7" t="n">
        <f aca="false">9.5/0.9</f>
        <v>10.5555555555556</v>
      </c>
      <c r="E9" s="5" t="n">
        <f aca="false">0.7/0.51</f>
        <v>1.37254901960784</v>
      </c>
      <c r="F9" s="5" t="n">
        <f aca="false">4.8/1.4</f>
        <v>3.42857142857143</v>
      </c>
      <c r="G9" s="7" t="n">
        <f aca="false">B9*m</f>
        <v>3.88888888888889E-005</v>
      </c>
      <c r="H9" s="7" t="n">
        <f aca="false">4.8/8.9</f>
        <v>0.539325842696629</v>
      </c>
      <c r="I9" s="7" t="n">
        <f aca="false">7/7.8</f>
        <v>0.897435897435898</v>
      </c>
      <c r="J9" s="5" t="n">
        <v>1</v>
      </c>
      <c r="K9" s="5" t="n">
        <v>1</v>
      </c>
      <c r="L9" s="7" t="n">
        <f aca="false">7.6/7.2</f>
        <v>1.05555555555556</v>
      </c>
      <c r="M9" s="13" t="n">
        <f aca="false">270/56</f>
        <v>4.82142857142857</v>
      </c>
      <c r="N9" s="5" t="n">
        <v>1</v>
      </c>
      <c r="O9" s="6" t="n">
        <v>1</v>
      </c>
      <c r="Q9" s="16" t="s">
        <v>26</v>
      </c>
    </row>
    <row r="10" customFormat="false" ht="14.25" hidden="false" customHeight="false" outlineLevel="0" collapsed="false">
      <c r="A10" s="4" t="s">
        <v>27</v>
      </c>
      <c r="B10" s="7" t="n">
        <f aca="false">1.6/2.1</f>
        <v>0.761904761904762</v>
      </c>
      <c r="C10" s="7" t="n">
        <f aca="false">1.5/1.2</f>
        <v>1.25</v>
      </c>
      <c r="D10" s="7" t="n">
        <f aca="false">4.9/0.9</f>
        <v>5.44444444444445</v>
      </c>
      <c r="E10" s="9" t="n">
        <v>1</v>
      </c>
      <c r="F10" s="9" t="n">
        <v>1</v>
      </c>
      <c r="G10" s="7" t="n">
        <f aca="false">B10*m</f>
        <v>4.44444444444444E-005</v>
      </c>
      <c r="H10" s="7" t="n">
        <f aca="false">4.7/8.9</f>
        <v>0.528089887640449</v>
      </c>
      <c r="I10" s="7" t="n">
        <f aca="false">7.5/7.8</f>
        <v>0.961538461538462</v>
      </c>
      <c r="J10" s="9" t="n">
        <v>1</v>
      </c>
      <c r="K10" s="9" t="n">
        <v>1</v>
      </c>
      <c r="L10" s="7" t="n">
        <f aca="false">8/7.2</f>
        <v>1.11111111111111</v>
      </c>
      <c r="M10" s="9" t="n">
        <v>1</v>
      </c>
      <c r="N10" s="9" t="n">
        <v>1</v>
      </c>
      <c r="O10" s="6" t="n">
        <v>1</v>
      </c>
      <c r="Q10" s="17" t="s">
        <v>28</v>
      </c>
    </row>
    <row r="11" customFormat="false" ht="14.25" hidden="false" customHeight="false" outlineLevel="0" collapsed="false">
      <c r="A11" s="4" t="s">
        <v>29</v>
      </c>
      <c r="B11" s="5" t="n">
        <f aca="false">0.043/0.028</f>
        <v>1.53571428571429</v>
      </c>
      <c r="C11" s="5" t="n">
        <f aca="false">1.4/2</f>
        <v>0.7</v>
      </c>
      <c r="D11" s="5" t="n">
        <f aca="false">13/11</f>
        <v>1.18181818181818</v>
      </c>
      <c r="E11" s="5" t="n">
        <v>1</v>
      </c>
      <c r="F11" s="5" t="n">
        <v>1</v>
      </c>
      <c r="G11" s="5" t="n">
        <f aca="false">0.09/10</f>
        <v>0.009</v>
      </c>
      <c r="H11" s="5" t="n">
        <v>1</v>
      </c>
      <c r="I11" s="5" t="n">
        <v>1</v>
      </c>
      <c r="J11" s="5" t="n">
        <v>1</v>
      </c>
      <c r="K11" s="5" t="n">
        <v>1</v>
      </c>
      <c r="L11" s="5" t="n">
        <v>1</v>
      </c>
      <c r="M11" s="5" t="n">
        <v>3.16666666666667</v>
      </c>
      <c r="N11" s="5" t="n">
        <v>1</v>
      </c>
      <c r="O11" s="6" t="n">
        <v>1</v>
      </c>
      <c r="Q11" s="18" t="s">
        <v>30</v>
      </c>
    </row>
    <row r="12" customFormat="false" ht="14.25" hidden="false" customHeight="false" outlineLevel="0" collapsed="false">
      <c r="A12" s="4" t="s">
        <v>31</v>
      </c>
      <c r="B12" s="13" t="n">
        <f aca="false">1.8/68</f>
        <v>0.0264705882352941</v>
      </c>
      <c r="C12" s="5" t="n">
        <f aca="false">0.37/0.79</f>
        <v>0.468354430379747</v>
      </c>
      <c r="D12" s="5" t="n">
        <f aca="false">0.11/2.3</f>
        <v>0.0478260869565217</v>
      </c>
      <c r="E12" s="5" t="n">
        <v>1</v>
      </c>
      <c r="F12" s="5" t="n">
        <v>1</v>
      </c>
      <c r="G12" s="13" t="n">
        <f aca="false">B12*m</f>
        <v>1.54411764705882E-006</v>
      </c>
      <c r="H12" s="5" t="n">
        <v>1</v>
      </c>
      <c r="I12" s="5" t="n">
        <v>1</v>
      </c>
      <c r="J12" s="5" t="n">
        <v>1</v>
      </c>
      <c r="K12" s="5" t="n">
        <v>1</v>
      </c>
      <c r="L12" s="5" t="n">
        <v>1</v>
      </c>
      <c r="M12" s="13" t="n">
        <f aca="false">348/56</f>
        <v>6.21428571428571</v>
      </c>
      <c r="N12" s="5" t="n">
        <v>1</v>
      </c>
      <c r="O12" s="6" t="n">
        <v>1</v>
      </c>
      <c r="Q12" s="19" t="s">
        <v>32</v>
      </c>
    </row>
    <row r="13" customFormat="false" ht="14.25" hidden="false" customHeight="false" outlineLevel="0" collapsed="false">
      <c r="A13" s="4" t="s">
        <v>33</v>
      </c>
      <c r="B13" s="7" t="n">
        <f aca="false">1.2/2.1</f>
        <v>0.571428571428571</v>
      </c>
      <c r="C13" s="7" t="n">
        <f aca="false">4.8/1.2</f>
        <v>4</v>
      </c>
      <c r="D13" s="7" t="n">
        <f aca="false">0.2/0.9</f>
        <v>0.222222222222222</v>
      </c>
      <c r="E13" s="9" t="n">
        <v>1</v>
      </c>
      <c r="F13" s="9" t="n">
        <v>1</v>
      </c>
      <c r="G13" s="7" t="n">
        <f aca="false">B13*m</f>
        <v>3.33333333333333E-005</v>
      </c>
      <c r="H13" s="7" t="n">
        <f aca="false">15.8/8.9</f>
        <v>1.7752808988764</v>
      </c>
      <c r="I13" s="7" t="n">
        <f aca="false">8/7.8</f>
        <v>1.02564102564103</v>
      </c>
      <c r="J13" s="9" t="n">
        <v>1</v>
      </c>
      <c r="K13" s="9" t="n">
        <v>1</v>
      </c>
      <c r="L13" s="7" t="n">
        <f aca="false">7/7.2</f>
        <v>0.972222222222222</v>
      </c>
      <c r="M13" s="9" t="n">
        <v>1</v>
      </c>
      <c r="N13" s="9" t="n">
        <v>1</v>
      </c>
      <c r="O13" s="6" t="n">
        <v>1</v>
      </c>
    </row>
    <row r="14" customFormat="false" ht="14.25" hidden="false" customHeight="false" outlineLevel="0" collapsed="false">
      <c r="A14" s="4" t="s">
        <v>34</v>
      </c>
      <c r="B14" s="7" t="n">
        <f aca="false">0.05/2.1</f>
        <v>0.0238095238095238</v>
      </c>
      <c r="C14" s="7" t="n">
        <f aca="false">0.2/1.2</f>
        <v>0.166666666666667</v>
      </c>
      <c r="D14" s="7" t="n">
        <f aca="false">0.9/0.9</f>
        <v>1</v>
      </c>
      <c r="E14" s="5" t="n">
        <f aca="false">1.16/0.51</f>
        <v>2.27450980392157</v>
      </c>
      <c r="F14" s="5" t="n">
        <f aca="false">5.8/1.4</f>
        <v>4.14285714285714</v>
      </c>
      <c r="G14" s="7" t="n">
        <f aca="false">B14*m</f>
        <v>1.38888888888889E-006</v>
      </c>
      <c r="H14" s="7" t="n">
        <f aca="false">100/8.9</f>
        <v>11.2359550561798</v>
      </c>
      <c r="I14" s="7" t="n">
        <f aca="false">7.1/7.8</f>
        <v>0.91025641025641</v>
      </c>
      <c r="J14" s="5" t="n">
        <v>1</v>
      </c>
      <c r="K14" s="5" t="n">
        <v>1</v>
      </c>
      <c r="L14" s="7" t="n">
        <f aca="false">7.5/7.2</f>
        <v>1.04166666666667</v>
      </c>
      <c r="M14" s="13" t="n">
        <f aca="false">411/56</f>
        <v>7.33928571428571</v>
      </c>
      <c r="N14" s="5" t="n">
        <v>1</v>
      </c>
      <c r="O14" s="6" t="n">
        <v>1</v>
      </c>
    </row>
    <row r="15" customFormat="false" ht="14.25" hidden="false" customHeight="false" outlineLevel="0" collapsed="false">
      <c r="A15" s="4" t="s">
        <v>35</v>
      </c>
      <c r="B15" s="7" t="n">
        <f aca="false">1.1/2.1</f>
        <v>0.523809523809524</v>
      </c>
      <c r="C15" s="7" t="n">
        <f aca="false">2.5/1.2</f>
        <v>2.08333333333333</v>
      </c>
      <c r="D15" s="7" t="n">
        <f aca="false">0.8/0.9</f>
        <v>0.888888888888889</v>
      </c>
      <c r="E15" s="9" t="n">
        <v>1</v>
      </c>
      <c r="F15" s="9" t="n">
        <v>1</v>
      </c>
      <c r="G15" s="7" t="n">
        <f aca="false">B15*m</f>
        <v>3.05555555555556E-005</v>
      </c>
      <c r="H15" s="7" t="n">
        <f aca="false">26.6/8.9</f>
        <v>2.98876404494382</v>
      </c>
      <c r="I15" s="7" t="n">
        <f aca="false">8.2/7.8</f>
        <v>1.05128205128205</v>
      </c>
      <c r="J15" s="9" t="n">
        <v>1</v>
      </c>
      <c r="K15" s="9" t="n">
        <v>1</v>
      </c>
      <c r="L15" s="7" t="n">
        <f aca="false">7.7/7.2</f>
        <v>1.06944444444444</v>
      </c>
      <c r="M15" s="9" t="n">
        <v>1</v>
      </c>
      <c r="N15" s="9" t="n">
        <v>1</v>
      </c>
      <c r="O15" s="6" t="n">
        <v>1</v>
      </c>
    </row>
    <row r="16" customFormat="false" ht="14.25" hidden="false" customHeight="false" outlineLevel="0" collapsed="false">
      <c r="A16" s="4" t="s">
        <v>36</v>
      </c>
      <c r="B16" s="7" t="n">
        <f aca="false">1.9/2.1</f>
        <v>0.904761904761905</v>
      </c>
      <c r="C16" s="7" t="n">
        <f aca="false">1.6/1.2</f>
        <v>1.33333333333333</v>
      </c>
      <c r="D16" s="7" t="n">
        <f aca="false">6.3/0.9</f>
        <v>7</v>
      </c>
      <c r="E16" s="5" t="n">
        <v>1</v>
      </c>
      <c r="F16" s="5" t="n">
        <v>1</v>
      </c>
      <c r="G16" s="7" t="n">
        <f aca="false">B16*m</f>
        <v>5.27777777777778E-005</v>
      </c>
      <c r="H16" s="7" t="n">
        <f aca="false">5.2/8.9</f>
        <v>0.584269662921348</v>
      </c>
      <c r="I16" s="7" t="n">
        <f aca="false">7/7.8</f>
        <v>0.897435897435898</v>
      </c>
      <c r="J16" s="5" t="n">
        <v>1</v>
      </c>
      <c r="K16" s="5" t="n">
        <v>1</v>
      </c>
      <c r="L16" s="7" t="n">
        <f aca="false">7.4/7.2</f>
        <v>1.02777777777778</v>
      </c>
      <c r="M16" s="13" t="n">
        <f aca="false">129/56</f>
        <v>2.30357142857143</v>
      </c>
      <c r="N16" s="5" t="n">
        <v>1</v>
      </c>
      <c r="O16" s="6" t="n">
        <v>1</v>
      </c>
    </row>
    <row r="17" customFormat="false" ht="14.25" hidden="false" customHeight="false" outlineLevel="0" collapsed="false">
      <c r="A17" s="4" t="s">
        <v>37</v>
      </c>
      <c r="B17" s="7" t="n">
        <f aca="false">3.2/2.1</f>
        <v>1.52380952380952</v>
      </c>
      <c r="C17" s="7" t="n">
        <f aca="false">3.6/1.2</f>
        <v>3</v>
      </c>
      <c r="D17" s="7" t="n">
        <f aca="false">0.7/0.9</f>
        <v>0.777777777777778</v>
      </c>
      <c r="E17" s="5" t="n">
        <v>1</v>
      </c>
      <c r="F17" s="5" t="n">
        <v>1</v>
      </c>
      <c r="G17" s="7" t="n">
        <f aca="false">B17*m</f>
        <v>8.88888888888889E-005</v>
      </c>
      <c r="H17" s="7" t="n">
        <f aca="false">19.6/8.9</f>
        <v>2.20224719101124</v>
      </c>
      <c r="I17" s="7" t="n">
        <f aca="false">8.8/7.8</f>
        <v>1.12820512820513</v>
      </c>
      <c r="J17" s="5" t="n">
        <v>1</v>
      </c>
      <c r="K17" s="5" t="n">
        <v>1</v>
      </c>
      <c r="L17" s="7" t="n">
        <f aca="false">8.2/7.2</f>
        <v>1.13888888888889</v>
      </c>
      <c r="M17" s="5" t="n">
        <v>1</v>
      </c>
      <c r="N17" s="5" t="n">
        <v>1</v>
      </c>
      <c r="O17" s="6" t="n">
        <v>1</v>
      </c>
    </row>
    <row r="18" customFormat="false" ht="14.25" hidden="false" customHeight="false" outlineLevel="0" collapsed="false">
      <c r="A18" s="4" t="s">
        <v>38</v>
      </c>
      <c r="B18" s="7" t="n">
        <f aca="false">2/2.1</f>
        <v>0.952380952380952</v>
      </c>
      <c r="C18" s="7" t="n">
        <f aca="false">3.4/1.2</f>
        <v>2.83333333333333</v>
      </c>
      <c r="D18" s="7" t="n">
        <f aca="false">1.2/0.9</f>
        <v>1.33333333333333</v>
      </c>
      <c r="E18" s="5" t="n">
        <v>1</v>
      </c>
      <c r="F18" s="5" t="n">
        <v>1</v>
      </c>
      <c r="G18" s="7" t="n">
        <f aca="false">B18*m</f>
        <v>5.55555555555556E-005</v>
      </c>
      <c r="H18" s="7" t="n">
        <f aca="false">87/8.9</f>
        <v>9.77528089887641</v>
      </c>
      <c r="I18" s="7" t="n">
        <f aca="false">7.9/7.8</f>
        <v>1.01282051282051</v>
      </c>
      <c r="J18" s="5" t="n">
        <v>1</v>
      </c>
      <c r="K18" s="5" t="n">
        <v>1</v>
      </c>
      <c r="L18" s="7" t="n">
        <f aca="false">7.4/7.2</f>
        <v>1.02777777777778</v>
      </c>
      <c r="M18" s="5" t="n">
        <v>1</v>
      </c>
      <c r="N18" s="5" t="n">
        <v>1</v>
      </c>
      <c r="O18" s="6" t="n">
        <v>1</v>
      </c>
    </row>
    <row r="19" customFormat="false" ht="14.25" hidden="false" customHeight="false" outlineLevel="0" collapsed="false">
      <c r="A19" s="4" t="s">
        <v>39</v>
      </c>
      <c r="B19" s="5" t="n">
        <f aca="false">1.83/20.93</f>
        <v>0.0874343048256092</v>
      </c>
      <c r="C19" s="5" t="n">
        <f aca="false">9.6/6.5</f>
        <v>1.47692307692308</v>
      </c>
      <c r="D19" s="5" t="n">
        <f aca="false">9.2/15</f>
        <v>0.613333333333333</v>
      </c>
      <c r="E19" s="5" t="n">
        <v>1</v>
      </c>
      <c r="F19" s="5" t="n">
        <v>1</v>
      </c>
      <c r="G19" s="5" t="n">
        <f aca="false">B19*m</f>
        <v>5.10033444816054E-006</v>
      </c>
      <c r="H19" s="5" t="n">
        <f aca="false">25/35</f>
        <v>0.714285714285714</v>
      </c>
      <c r="I19" s="5" t="n">
        <v>1</v>
      </c>
      <c r="J19" s="5" t="n">
        <v>1</v>
      </c>
      <c r="K19" s="5" t="n">
        <v>1</v>
      </c>
      <c r="L19" s="5" t="n">
        <v>1</v>
      </c>
      <c r="M19" s="5" t="n">
        <v>1</v>
      </c>
      <c r="N19" s="5" t="n">
        <v>1</v>
      </c>
      <c r="O19" s="6" t="n">
        <v>1</v>
      </c>
    </row>
    <row r="20" customFormat="false" ht="14.25" hidden="false" customHeight="false" outlineLevel="0" collapsed="false">
      <c r="A20" s="4" t="s">
        <v>40</v>
      </c>
      <c r="B20" s="5" t="n">
        <f aca="false">0.348/20.93</f>
        <v>0.0166268514094601</v>
      </c>
      <c r="C20" s="5" t="n">
        <f aca="false">9.1/6.5</f>
        <v>1.4</v>
      </c>
      <c r="D20" s="5" t="n">
        <f aca="false">9/15</f>
        <v>0.6</v>
      </c>
      <c r="E20" s="5" t="n">
        <v>1</v>
      </c>
      <c r="F20" s="5" t="n">
        <v>1</v>
      </c>
      <c r="G20" s="5" t="n">
        <f aca="false">B20*m</f>
        <v>9.69899665551839E-007</v>
      </c>
      <c r="H20" s="5" t="n">
        <f aca="false">2000/35</f>
        <v>57.1428571428571</v>
      </c>
      <c r="I20" s="5" t="n">
        <v>1</v>
      </c>
      <c r="J20" s="5" t="n">
        <v>1</v>
      </c>
      <c r="K20" s="5" t="n">
        <v>1</v>
      </c>
      <c r="L20" s="5" t="n">
        <v>1</v>
      </c>
      <c r="M20" s="5" t="n">
        <v>1</v>
      </c>
      <c r="N20" s="5" t="n">
        <v>1</v>
      </c>
      <c r="O20" s="6" t="n">
        <v>1</v>
      </c>
    </row>
    <row r="21" customFormat="false" ht="14.25" hidden="false" customHeight="false" outlineLevel="0" collapsed="false">
      <c r="A21" s="4" t="s">
        <v>41</v>
      </c>
      <c r="B21" s="5" t="n">
        <f aca="false">0.455/20.93</f>
        <v>0.0217391304347826</v>
      </c>
      <c r="C21" s="5" t="n">
        <f aca="false">16/6.5</f>
        <v>2.46153846153846</v>
      </c>
      <c r="D21" s="5" t="n">
        <f aca="false">16/15</f>
        <v>1.06666666666667</v>
      </c>
      <c r="E21" s="5" t="n">
        <f aca="false">1</f>
        <v>1</v>
      </c>
      <c r="F21" s="5" t="n">
        <v>1</v>
      </c>
      <c r="G21" s="5" t="n">
        <f aca="false">B21*m</f>
        <v>1.26811594202899E-006</v>
      </c>
      <c r="H21" s="5" t="n">
        <f aca="false">2/35</f>
        <v>0.0571428571428571</v>
      </c>
      <c r="I21" s="5" t="n">
        <v>1</v>
      </c>
      <c r="J21" s="5" t="n">
        <v>1</v>
      </c>
      <c r="K21" s="5" t="n">
        <v>1</v>
      </c>
      <c r="L21" s="5" t="n">
        <v>1</v>
      </c>
      <c r="M21" s="13" t="n">
        <f aca="false">134/56</f>
        <v>2.39285714285714</v>
      </c>
      <c r="N21" s="5" t="n">
        <v>1</v>
      </c>
      <c r="O21" s="6" t="n">
        <v>1</v>
      </c>
    </row>
    <row r="22" customFormat="false" ht="14.25" hidden="false" customHeight="false" outlineLevel="0" collapsed="false">
      <c r="A22" s="4" t="s">
        <v>42</v>
      </c>
      <c r="B22" s="5" t="n">
        <f aca="false">1.63/20.93</f>
        <v>0.0778786430960344</v>
      </c>
      <c r="C22" s="5" t="n">
        <f aca="false">6.8/6.5</f>
        <v>1.04615384615385</v>
      </c>
      <c r="D22" s="5" t="n">
        <f aca="false">19/15</f>
        <v>1.26666666666667</v>
      </c>
      <c r="E22" s="5" t="n">
        <f aca="false">1</f>
        <v>1</v>
      </c>
      <c r="F22" s="5" t="n">
        <v>1</v>
      </c>
      <c r="G22" s="5" t="n">
        <f aca="false">B22*m</f>
        <v>4.54292084726867E-006</v>
      </c>
      <c r="H22" s="5" t="n">
        <f aca="false">50/35</f>
        <v>1.42857142857143</v>
      </c>
      <c r="I22" s="5" t="n">
        <v>1</v>
      </c>
      <c r="J22" s="5" t="n">
        <v>1</v>
      </c>
      <c r="K22" s="5" t="n">
        <v>1</v>
      </c>
      <c r="L22" s="5" t="n">
        <v>1</v>
      </c>
      <c r="M22" s="5" t="n">
        <v>1</v>
      </c>
      <c r="N22" s="5" t="n">
        <v>1</v>
      </c>
      <c r="O22" s="6" t="n">
        <v>1</v>
      </c>
    </row>
    <row r="23" customFormat="false" ht="14.25" hidden="false" customHeight="false" outlineLevel="0" collapsed="false">
      <c r="A23" s="4" t="s">
        <v>43</v>
      </c>
      <c r="B23" s="5" t="n">
        <f aca="false">0.366/20.93</f>
        <v>0.0174868609651218</v>
      </c>
      <c r="C23" s="5" t="n">
        <f aca="false">7.4/6.5</f>
        <v>1.13846153846154</v>
      </c>
      <c r="D23" s="5" t="n">
        <f aca="false">6.7/15</f>
        <v>0.446666666666667</v>
      </c>
      <c r="E23" s="5" t="n">
        <v>1</v>
      </c>
      <c r="F23" s="5" t="n">
        <v>1</v>
      </c>
      <c r="G23" s="5" t="n">
        <f aca="false">B23*m</f>
        <v>1.02006688963211E-006</v>
      </c>
      <c r="H23" s="5" t="n">
        <f aca="false">1500/35</f>
        <v>42.8571428571429</v>
      </c>
      <c r="I23" s="5" t="n">
        <v>1</v>
      </c>
      <c r="J23" s="5" t="n">
        <v>1</v>
      </c>
      <c r="K23" s="5" t="n">
        <v>1</v>
      </c>
      <c r="L23" s="5" t="n">
        <v>1</v>
      </c>
      <c r="M23" s="5" t="n">
        <v>1</v>
      </c>
      <c r="N23" s="5" t="n">
        <v>1</v>
      </c>
      <c r="O23" s="6" t="n">
        <v>1</v>
      </c>
    </row>
    <row r="24" customFormat="false" ht="14.25" hidden="false" customHeight="false" outlineLevel="0" collapsed="false">
      <c r="A24" s="20" t="s">
        <v>44</v>
      </c>
      <c r="B24" s="21" t="n">
        <f aca="false">1.52/20.93</f>
        <v>0.0726230291447683</v>
      </c>
      <c r="C24" s="21" t="n">
        <f aca="false">6.5/6.5</f>
        <v>1</v>
      </c>
      <c r="D24" s="21" t="n">
        <f aca="false">12/15</f>
        <v>0.8</v>
      </c>
      <c r="E24" s="21" t="n">
        <f aca="false">1</f>
        <v>1</v>
      </c>
      <c r="F24" s="21" t="n">
        <v>1</v>
      </c>
      <c r="G24" s="21" t="n">
        <f aca="false">B24*m</f>
        <v>4.23634336677815E-006</v>
      </c>
      <c r="H24" s="21" t="n">
        <f aca="false">100/35</f>
        <v>2.85714285714286</v>
      </c>
      <c r="I24" s="21" t="n">
        <v>1</v>
      </c>
      <c r="J24" s="21" t="n">
        <v>1</v>
      </c>
      <c r="K24" s="21" t="n">
        <v>1</v>
      </c>
      <c r="L24" s="21" t="n">
        <v>1</v>
      </c>
      <c r="M24" s="21" t="n">
        <v>1</v>
      </c>
      <c r="N24" s="21" t="n">
        <v>1</v>
      </c>
      <c r="O24" s="6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1.09"/>
    <col collapsed="false" customWidth="true" hidden="false" outlineLevel="0" max="2" min="2" style="0" width="9.45"/>
    <col collapsed="false" customWidth="true" hidden="false" outlineLevel="0" max="3" min="3" style="0" width="11"/>
  </cols>
  <sheetData>
    <row r="1" customFormat="false" ht="14.25" hidden="false" customHeight="false" outlineLevel="0" collapsed="false">
      <c r="A1" s="0" t="s">
        <v>45</v>
      </c>
      <c r="B1" s="0" t="s">
        <v>46</v>
      </c>
      <c r="C1" s="0" t="s">
        <v>47</v>
      </c>
    </row>
    <row r="2" customFormat="false" ht="16.4" hidden="false" customHeight="false" outlineLevel="0" collapsed="false">
      <c r="A2" s="2" t="s">
        <v>1</v>
      </c>
    </row>
    <row r="3" customFormat="false" ht="16.4" hidden="false" customHeight="false" outlineLevel="0" collapsed="false">
      <c r="A3" s="2" t="s">
        <v>2</v>
      </c>
    </row>
    <row r="4" customFormat="false" ht="16.4" hidden="false" customHeight="false" outlineLevel="0" collapsed="false">
      <c r="A4" s="2" t="s">
        <v>3</v>
      </c>
    </row>
    <row r="5" customFormat="false" ht="16.4" hidden="false" customHeight="false" outlineLevel="0" collapsed="false">
      <c r="A5" s="2" t="s">
        <v>4</v>
      </c>
    </row>
    <row r="6" customFormat="false" ht="16.4" hidden="false" customHeight="false" outlineLevel="0" collapsed="false">
      <c r="A6" s="2" t="s">
        <v>5</v>
      </c>
    </row>
    <row r="7" customFormat="false" ht="16.4" hidden="false" customHeight="false" outlineLevel="0" collapsed="false">
      <c r="A7" s="2" t="s">
        <v>6</v>
      </c>
    </row>
    <row r="8" customFormat="false" ht="16.4" hidden="false" customHeight="false" outlineLevel="0" collapsed="false">
      <c r="A8" s="2" t="s">
        <v>7</v>
      </c>
    </row>
    <row r="9" customFormat="false" ht="16.4" hidden="false" customHeight="false" outlineLevel="0" collapsed="false">
      <c r="A9" s="2" t="s">
        <v>8</v>
      </c>
    </row>
    <row r="10" customFormat="false" ht="16.4" hidden="false" customHeight="false" outlineLevel="0" collapsed="false">
      <c r="A10" s="2" t="s">
        <v>9</v>
      </c>
    </row>
    <row r="11" customFormat="false" ht="16.4" hidden="false" customHeight="false" outlineLevel="0" collapsed="false">
      <c r="A11" s="2" t="s">
        <v>10</v>
      </c>
    </row>
    <row r="12" customFormat="false" ht="16.4" hidden="false" customHeight="false" outlineLevel="0" collapsed="false">
      <c r="A12" s="2" t="s">
        <v>11</v>
      </c>
    </row>
    <row r="13" customFormat="false" ht="16.4" hidden="false" customHeight="false" outlineLevel="0" collapsed="false">
      <c r="A13" s="2" t="s">
        <v>12</v>
      </c>
    </row>
    <row r="14" customFormat="false" ht="16.4" hidden="false" customHeight="false" outlineLevel="0" collapsed="false">
      <c r="A14" s="2" t="s">
        <v>13</v>
      </c>
    </row>
    <row r="15" customFormat="false" ht="16.4" hidden="false" customHeight="false" outlineLevel="0" collapsed="false">
      <c r="A15" s="3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2024-03-20T17:30:49Z</dcterms:created>
  <dc:creator>Craig Allen</dc:creator>
  <dc:description/>
  <dc:language>en-US</dc:language>
  <cp:lastModifiedBy/>
  <dcterms:modified xsi:type="dcterms:W3CDTF">2026-07-15T16:09:15Z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