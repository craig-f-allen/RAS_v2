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externalReferences>
    <externalReference r:id="rId4"/>
  </externalReferences>
  <definedNames>
    <definedName function="false" hidden="false" name="m" vbProcedure="false">'[1]WT and Mutant multipliers'!$Q$5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<sst xmlns="http://schemas.openxmlformats.org/spreadsheetml/2006/main" count="38" uniqueCount="38">
  <si>
    <t xml:space="preserve">KRAS WT or Mutant</t>
  </si>
  <si>
    <t xml:space="preserve">kint</t>
  </si>
  <si>
    <t xml:space="preserve">kdGDP</t>
  </si>
  <si>
    <t xml:space="preserve">kdGTP</t>
  </si>
  <si>
    <t xml:space="preserve">kaGDP</t>
  </si>
  <si>
    <t xml:space="preserve">kaGTP</t>
  </si>
  <si>
    <t xml:space="preserve">kcat</t>
  </si>
  <si>
    <t xml:space="preserve">KM</t>
  </si>
  <si>
    <t xml:space="preserve">kGDP</t>
  </si>
  <si>
    <t xml:space="preserve">KMGDP</t>
  </si>
  <si>
    <t xml:space="preserve">KMGTP</t>
  </si>
  <si>
    <t xml:space="preserve">kGTP</t>
  </si>
  <si>
    <t xml:space="preserve">KD</t>
  </si>
  <si>
    <t xml:space="preserve">kaEff</t>
  </si>
  <si>
    <t xml:space="preserve">kdEff</t>
  </si>
  <si>
    <t xml:space="preserve">WT</t>
  </si>
  <si>
    <t xml:space="preserve">A146T</t>
  </si>
  <si>
    <t xml:space="preserve">A146V</t>
  </si>
  <si>
    <t xml:space="preserve">A59T</t>
  </si>
  <si>
    <t xml:space="preserve">F28L</t>
  </si>
  <si>
    <t xml:space="preserve">G12A</t>
  </si>
  <si>
    <t xml:space="preserve">G12C</t>
  </si>
  <si>
    <t xml:space="preserve">G12D</t>
  </si>
  <si>
    <t xml:space="preserve">G12E</t>
  </si>
  <si>
    <t xml:space="preserve">G12P</t>
  </si>
  <si>
    <t xml:space="preserve">G12R</t>
  </si>
  <si>
    <t xml:space="preserve">G12S</t>
  </si>
  <si>
    <t xml:space="preserve">G12V</t>
  </si>
  <si>
    <t xml:space="preserve">G13C</t>
  </si>
  <si>
    <t xml:space="preserve">G13D</t>
  </si>
  <si>
    <t xml:space="preserve">G13S</t>
  </si>
  <si>
    <t xml:space="preserve">G13V</t>
  </si>
  <si>
    <t xml:space="preserve">Q61H</t>
  </si>
  <si>
    <t xml:space="preserve">Q61K</t>
  </si>
  <si>
    <t xml:space="preserve">Q61L</t>
  </si>
  <si>
    <t xml:space="preserve">Q61P</t>
  </si>
  <si>
    <t xml:space="preserve">Q61R</t>
  </si>
  <si>
    <t xml:space="preserve">Q61W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</si>
</sst>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0"/>
    <numFmt numFmtId="166" formatCode="#,##0.0000000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C4FEBB"/>
        <bgColor rgb="FFCCFFFF"/>
      </patternFill>
    </fill>
    <fill>
      <patternFill patternType="solid">
        <fgColor rgb="FFBBE6FE"/>
        <bgColor rgb="FFCCFFFF"/>
      </patternFill>
    </fill>
    <fill>
      <patternFill patternType="solid">
        <fgColor rgb="FFFED4BB"/>
        <bgColor rgb="FFF8CFCE"/>
      </patternFill>
    </fill>
    <fill>
      <patternFill patternType="solid">
        <fgColor rgb="FFF8CFCE"/>
        <bgColor rgb="FFFED4BB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 diagonalUp="false" diagonalDown="false">
      <left style="thin">
        <color rgb="FFC6C6C6"/>
      </left>
      <right style="thin">
        <color rgb="FFFFFFFF"/>
      </right>
      <top style="thin">
        <color rgb="FFC6C6C6"/>
      </top>
      <bottom style="thin">
        <color rgb="FFC6C6C6"/>
      </bottom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FFFFF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0" fillId="2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0" fillId="3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3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0" fillId="4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0" fillId="5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2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0" fillId="6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6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2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C6C6"/>
      <rgbColor rgb="FF808080"/>
      <rgbColor rgb="FF9999FF"/>
      <rgbColor rgb="FF993366"/>
      <rgbColor rgb="FFFFFFCC"/>
      <rgbColor rgb="FFBBE6FE"/>
      <rgbColor rgb="FF660066"/>
      <rgbColor rgb="FFFF8080"/>
      <rgbColor rgb="FF0066CC"/>
      <rgbColor rgb="FFF8CF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4FEBB"/>
      <rgbColor rgb="FFFFFF99"/>
      <rgbColor rgb="FF99CCFF"/>
      <rgbColor rgb="FFFF99CC"/>
      <rgbColor rgb="FFCC99FF"/>
      <rgbColor rgb="FFFED4BB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externalLink" Target="externalLinks/externalLink1.xml"/><Relationship Id="rId5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RAS_ODE_model_kinetic_parameters_v2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WT and Mutant multipliers"/>
      <sheetName val="Parameter descriptions"/>
    </sheetNames>
    <sheetDataSet>
      <sheetData sheetId="0"/>
      <sheetData sheetId="1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/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51000"/>
              </a:schemeClr>
            </a:gs>
            <a:gs pos="80000">
              <a:schemeClr val="phClr">
                <a:tint val="15000"/>
              </a:schemeClr>
            </a:gs>
            <a:gs pos="100000">
              <a:schemeClr val="phClr">
                <a:tint val="94000"/>
              </a:schemeClr>
            </a:gs>
          </a:gsLst>
          <a:lin ang="16200000" scaled="1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tint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/>
            </a:gs>
            <a:gs pos="100000">
              <a:schemeClr val="phClr">
                <a:tint val="8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20" activeCellId="0" sqref="F20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6.72"/>
    <col collapsed="false" customWidth="true" hidden="false" outlineLevel="0" max="6" min="2" style="2" width="11.87"/>
    <col collapsed="false" customWidth="true" hidden="false" outlineLevel="0" max="7" min="7" style="3" width="11.87"/>
    <col collapsed="false" customWidth="true" hidden="false" outlineLevel="0" max="15" min="8" style="2" width="11.87"/>
  </cols>
  <sheetData>
    <row r="1" customFormat="false" ht="18.75" hidden="false" customHeight="true" outlineLevel="0" collapsed="false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7" t="s">
        <v>14</v>
      </c>
    </row>
    <row r="2" customFormat="false" ht="16.5" hidden="false" customHeight="true" outlineLevel="0" collapsed="false">
      <c r="A2" s="8" t="s">
        <v>15</v>
      </c>
      <c r="B2" s="9" t="n">
        <v>1</v>
      </c>
      <c r="C2" s="9" t="n">
        <v>1</v>
      </c>
      <c r="D2" s="9" t="n">
        <v>1</v>
      </c>
      <c r="E2" s="9" t="n">
        <v>1</v>
      </c>
      <c r="F2" s="9" t="n">
        <v>1</v>
      </c>
      <c r="G2" s="9" t="n">
        <v>1</v>
      </c>
      <c r="H2" s="9" t="n">
        <v>1</v>
      </c>
      <c r="I2" s="9" t="n">
        <v>1</v>
      </c>
      <c r="J2" s="9" t="n">
        <v>1</v>
      </c>
      <c r="K2" s="9" t="n">
        <v>1</v>
      </c>
      <c r="L2" s="9" t="n">
        <v>1</v>
      </c>
      <c r="M2" s="9" t="n">
        <v>1</v>
      </c>
      <c r="N2" s="9" t="n">
        <v>1</v>
      </c>
      <c r="O2" s="10" t="n">
        <v>1</v>
      </c>
    </row>
    <row r="3" customFormat="false" ht="16.5" hidden="false" customHeight="true" outlineLevel="0" collapsed="false">
      <c r="A3" s="8" t="s">
        <v>16</v>
      </c>
      <c r="B3" s="11" t="n">
        <f aca="false">1.9/2.1</f>
        <v>0.904761904761905</v>
      </c>
      <c r="C3" s="11" t="n">
        <f aca="false">9.7/1.2</f>
        <v>8.08333333333333</v>
      </c>
      <c r="D3" s="11" t="n">
        <f aca="false">8.1/0.9</f>
        <v>9</v>
      </c>
      <c r="E3" s="9" t="n">
        <f aca="false">244.9/0.51*(0.00011)/(0.0000000093*2300000)</f>
        <v>2.46945154873544</v>
      </c>
      <c r="F3" s="9" t="n">
        <f aca="false">(244.9/0.51)*(0.00025)/(0.0000000069*2200000)</f>
        <v>7.90836756309902</v>
      </c>
      <c r="G3" s="12" t="n">
        <f aca="false">B3*m</f>
        <v>5.27777777777778E-005</v>
      </c>
      <c r="H3" s="11" t="n">
        <f aca="false">10.7/8.9</f>
        <v>1.20224719101124</v>
      </c>
      <c r="I3" s="11" t="n">
        <f aca="false">8.2/7.8</f>
        <v>1.05128205128205</v>
      </c>
      <c r="J3" s="9" t="n">
        <v>1</v>
      </c>
      <c r="K3" s="9" t="n">
        <v>1</v>
      </c>
      <c r="L3" s="11" t="n">
        <f aca="false">8.1/7.2</f>
        <v>1.125</v>
      </c>
      <c r="M3" s="13" t="n">
        <f aca="false">12.9/17.3</f>
        <v>0.745664739884393</v>
      </c>
      <c r="N3" s="9" t="n">
        <v>1</v>
      </c>
      <c r="O3" s="10" t="n">
        <v>1</v>
      </c>
    </row>
    <row r="4" customFormat="false" ht="16.5" hidden="false" customHeight="true" outlineLevel="0" collapsed="false">
      <c r="A4" s="8" t="s">
        <v>17</v>
      </c>
      <c r="B4" s="11" t="n">
        <f aca="false">0.81/0.33</f>
        <v>2.45454545454545</v>
      </c>
      <c r="C4" s="11" t="n">
        <f aca="false">13.5/1.2</f>
        <v>11.25</v>
      </c>
      <c r="D4" s="11" t="n">
        <f aca="false">9.3/0.9</f>
        <v>10.3333333333333</v>
      </c>
      <c r="E4" s="14" t="n">
        <v>1</v>
      </c>
      <c r="F4" s="14" t="n">
        <v>1</v>
      </c>
      <c r="G4" s="12" t="n">
        <f aca="false">B4*m</f>
        <v>0.000143181818181818</v>
      </c>
      <c r="H4" s="11" t="n">
        <f aca="false">13.8/8.9</f>
        <v>1.55056179775281</v>
      </c>
      <c r="I4" s="11" t="n">
        <f aca="false">8.8/7.8</f>
        <v>1.12820512820513</v>
      </c>
      <c r="J4" s="14" t="n">
        <v>1</v>
      </c>
      <c r="K4" s="14" t="n">
        <v>1</v>
      </c>
      <c r="L4" s="11" t="n">
        <f aca="false">8.4/7.2</f>
        <v>1.16666666666667</v>
      </c>
      <c r="M4" s="14" t="n">
        <v>1</v>
      </c>
      <c r="N4" s="14" t="n">
        <v>1</v>
      </c>
      <c r="O4" s="10" t="n">
        <v>1</v>
      </c>
    </row>
    <row r="5" customFormat="false" ht="16.5" hidden="false" customHeight="true" outlineLevel="0" collapsed="false">
      <c r="A5" s="8" t="s">
        <v>18</v>
      </c>
      <c r="B5" s="15" t="n">
        <f aca="false">2.4/10.2</f>
        <v>0.235294117647059</v>
      </c>
      <c r="C5" s="15" t="n">
        <f aca="false">4.4/0.79</f>
        <v>5.56962025316456</v>
      </c>
      <c r="D5" s="15" t="n">
        <f aca="false">2.8/2.3</f>
        <v>1.21739130434783</v>
      </c>
      <c r="E5" s="9" t="n">
        <v>1</v>
      </c>
      <c r="F5" s="9" t="n">
        <v>1</v>
      </c>
      <c r="G5" s="16" t="n">
        <f aca="false">B5*m</f>
        <v>1.37254901960784E-005</v>
      </c>
      <c r="H5" s="9" t="n">
        <v>1</v>
      </c>
      <c r="I5" s="9" t="n">
        <v>1</v>
      </c>
      <c r="J5" s="9" t="n">
        <v>1</v>
      </c>
      <c r="K5" s="9" t="n">
        <v>1</v>
      </c>
      <c r="L5" s="9" t="n">
        <v>1</v>
      </c>
      <c r="M5" s="9" t="n">
        <v>1</v>
      </c>
      <c r="N5" s="9" t="n">
        <v>1</v>
      </c>
      <c r="O5" s="10" t="n">
        <v>1</v>
      </c>
    </row>
    <row r="6" customFormat="false" ht="16.5" hidden="false" customHeight="true" outlineLevel="0" collapsed="false">
      <c r="A6" s="8" t="s">
        <v>19</v>
      </c>
      <c r="B6" s="9" t="n">
        <v>1</v>
      </c>
      <c r="C6" s="9" t="n">
        <v>25</v>
      </c>
      <c r="D6" s="9" t="n">
        <v>25</v>
      </c>
      <c r="E6" s="9" t="n">
        <v>1</v>
      </c>
      <c r="F6" s="9" t="n">
        <v>1</v>
      </c>
      <c r="G6" s="9" t="n">
        <v>1</v>
      </c>
      <c r="H6" s="9" t="n">
        <v>1</v>
      </c>
      <c r="I6" s="9" t="n">
        <v>1</v>
      </c>
      <c r="J6" s="9" t="n">
        <v>1</v>
      </c>
      <c r="K6" s="9" t="n">
        <v>1</v>
      </c>
      <c r="L6" s="9" t="n">
        <v>1</v>
      </c>
      <c r="M6" s="9" t="n">
        <v>1</v>
      </c>
      <c r="N6" s="9" t="n">
        <v>1</v>
      </c>
      <c r="O6" s="10" t="n">
        <v>1</v>
      </c>
    </row>
    <row r="7" customFormat="false" ht="16.5" hidden="false" customHeight="true" outlineLevel="0" collapsed="false">
      <c r="A7" s="8" t="s">
        <v>20</v>
      </c>
      <c r="B7" s="11" t="n">
        <f aca="false">0.5/2.1</f>
        <v>0.238095238095238</v>
      </c>
      <c r="C7" s="11" t="n">
        <f aca="false">0.5/1.3</f>
        <v>0.384615384615385</v>
      </c>
      <c r="D7" s="11" t="n">
        <f aca="false">0.9/0.9</f>
        <v>1</v>
      </c>
      <c r="E7" s="14" t="n">
        <v>1</v>
      </c>
      <c r="F7" s="14" t="n">
        <v>1</v>
      </c>
      <c r="G7" s="12" t="n">
        <f aca="false">B7*m</f>
        <v>1.38888888888889E-005</v>
      </c>
      <c r="H7" s="11" t="n">
        <f aca="false">46.8/8.9</f>
        <v>5.25842696629213</v>
      </c>
      <c r="I7" s="11" t="n">
        <f aca="false">7.3/7.8</f>
        <v>0.935897435897436</v>
      </c>
      <c r="J7" s="14" t="n">
        <v>1</v>
      </c>
      <c r="K7" s="14" t="n">
        <v>1</v>
      </c>
      <c r="L7" s="11" t="n">
        <f aca="false">7.5/7.2</f>
        <v>1.04166666666667</v>
      </c>
      <c r="M7" s="17" t="n">
        <f aca="false">127/56</f>
        <v>2.26785714285714</v>
      </c>
      <c r="N7" s="14" t="n">
        <v>1</v>
      </c>
      <c r="O7" s="10" t="n">
        <v>1</v>
      </c>
    </row>
    <row r="8" customFormat="false" ht="16.5" hidden="false" customHeight="true" outlineLevel="0" collapsed="false">
      <c r="A8" s="8" t="s">
        <v>21</v>
      </c>
      <c r="B8" s="11" t="n">
        <f aca="false">1.8/2.1</f>
        <v>0.857142857142857</v>
      </c>
      <c r="C8" s="11" t="n">
        <f aca="false">2.2/1.2</f>
        <v>1.83333333333333</v>
      </c>
      <c r="D8" s="11" t="n">
        <f aca="false">0.6/0.9</f>
        <v>0.666666666666667</v>
      </c>
      <c r="E8" s="9" t="n">
        <v>1</v>
      </c>
      <c r="F8" s="9" t="n">
        <v>1</v>
      </c>
      <c r="G8" s="12" t="n">
        <f aca="false">B8*m</f>
        <v>5E-005</v>
      </c>
      <c r="H8" s="11" t="n">
        <f aca="false">12.3/8.9</f>
        <v>1.38202247191011</v>
      </c>
      <c r="I8" s="11" t="n">
        <f aca="false">8.2/7.8</f>
        <v>1.05128205128205</v>
      </c>
      <c r="J8" s="9" t="n">
        <v>1</v>
      </c>
      <c r="K8" s="9" t="n">
        <v>1</v>
      </c>
      <c r="L8" s="11" t="n">
        <f aca="false">7.4/7.2</f>
        <v>1.02777777777778</v>
      </c>
      <c r="M8" s="17" t="n">
        <f aca="false">67/56</f>
        <v>1.19642857142857</v>
      </c>
      <c r="N8" s="9" t="n">
        <v>1</v>
      </c>
      <c r="O8" s="10" t="n">
        <v>1</v>
      </c>
    </row>
    <row r="9" customFormat="false" ht="16.5" hidden="false" customHeight="true" outlineLevel="0" collapsed="false">
      <c r="A9" s="8" t="s">
        <v>22</v>
      </c>
      <c r="B9" s="11" t="n">
        <f aca="false">1.4/2.1</f>
        <v>0.666666666666667</v>
      </c>
      <c r="C9" s="11" t="n">
        <f aca="false">1.6/1.2</f>
        <v>1.33333333333333</v>
      </c>
      <c r="D9" s="11" t="n">
        <f aca="false">9.5/0.9</f>
        <v>10.5555555555556</v>
      </c>
      <c r="E9" s="9" t="n">
        <f aca="false">0.7/0.51</f>
        <v>1.37254901960784</v>
      </c>
      <c r="F9" s="9" t="n">
        <f aca="false">4.8/1.4</f>
        <v>3.42857142857143</v>
      </c>
      <c r="G9" s="12" t="n">
        <f aca="false">B9*m</f>
        <v>3.88888888888889E-005</v>
      </c>
      <c r="H9" s="11" t="n">
        <f aca="false">4.8/8.9</f>
        <v>0.539325842696629</v>
      </c>
      <c r="I9" s="11" t="n">
        <f aca="false">7/7.8</f>
        <v>0.897435897435898</v>
      </c>
      <c r="J9" s="9" t="n">
        <v>1</v>
      </c>
      <c r="K9" s="9" t="n">
        <v>1</v>
      </c>
      <c r="L9" s="11" t="n">
        <f aca="false">7.6/7.2</f>
        <v>1.05555555555556</v>
      </c>
      <c r="M9" s="17" t="n">
        <f aca="false">270/56</f>
        <v>4.82142857142857</v>
      </c>
      <c r="N9" s="9" t="n">
        <v>1</v>
      </c>
      <c r="O9" s="10" t="n">
        <v>1</v>
      </c>
    </row>
    <row r="10" customFormat="false" ht="16.5" hidden="false" customHeight="true" outlineLevel="0" collapsed="false">
      <c r="A10" s="8" t="s">
        <v>23</v>
      </c>
      <c r="B10" s="11" t="n">
        <f aca="false">1.6/2.1</f>
        <v>0.761904761904762</v>
      </c>
      <c r="C10" s="11" t="n">
        <f aca="false">1.5/1.2</f>
        <v>1.25</v>
      </c>
      <c r="D10" s="11" t="n">
        <f aca="false">4.9/0.9</f>
        <v>5.44444444444445</v>
      </c>
      <c r="E10" s="14" t="n">
        <v>1</v>
      </c>
      <c r="F10" s="14" t="n">
        <v>1</v>
      </c>
      <c r="G10" s="12" t="n">
        <f aca="false">B10*m</f>
        <v>4.44444444444444E-005</v>
      </c>
      <c r="H10" s="11" t="n">
        <f aca="false">4.7/8.9</f>
        <v>0.528089887640449</v>
      </c>
      <c r="I10" s="11" t="n">
        <f aca="false">7.5/7.8</f>
        <v>0.961538461538462</v>
      </c>
      <c r="J10" s="14" t="n">
        <v>1</v>
      </c>
      <c r="K10" s="14" t="n">
        <v>1</v>
      </c>
      <c r="L10" s="11" t="n">
        <f aca="false">8/7.2</f>
        <v>1.11111111111111</v>
      </c>
      <c r="M10" s="14" t="n">
        <v>1</v>
      </c>
      <c r="N10" s="14" t="n">
        <v>1</v>
      </c>
      <c r="O10" s="10" t="n">
        <v>1</v>
      </c>
    </row>
    <row r="11" customFormat="false" ht="16.5" hidden="false" customHeight="true" outlineLevel="0" collapsed="false">
      <c r="A11" s="8" t="s">
        <v>24</v>
      </c>
      <c r="B11" s="9" t="n">
        <f aca="false">0.043/0.028</f>
        <v>1.53571428571429</v>
      </c>
      <c r="C11" s="9" t="n">
        <f aca="false">1.4/2</f>
        <v>0.7</v>
      </c>
      <c r="D11" s="9" t="n">
        <f aca="false">13/11</f>
        <v>1.18181818181818</v>
      </c>
      <c r="E11" s="9" t="n">
        <v>1</v>
      </c>
      <c r="F11" s="9" t="n">
        <v>1</v>
      </c>
      <c r="G11" s="16" t="n">
        <f aca="false">0.09/10</f>
        <v>0.009</v>
      </c>
      <c r="H11" s="9" t="n">
        <v>1</v>
      </c>
      <c r="I11" s="9" t="n">
        <v>1</v>
      </c>
      <c r="J11" s="9" t="n">
        <v>1</v>
      </c>
      <c r="K11" s="9" t="n">
        <v>1</v>
      </c>
      <c r="L11" s="9" t="n">
        <v>1</v>
      </c>
      <c r="M11" s="9" t="n">
        <v>3.16666666666667</v>
      </c>
      <c r="N11" s="9" t="n">
        <v>1</v>
      </c>
      <c r="O11" s="10" t="n">
        <v>1</v>
      </c>
    </row>
    <row r="12" customFormat="false" ht="16.5" hidden="false" customHeight="true" outlineLevel="0" collapsed="false">
      <c r="A12" s="8" t="s">
        <v>25</v>
      </c>
      <c r="B12" s="17" t="n">
        <f aca="false">1.8/68</f>
        <v>0.0264705882352941</v>
      </c>
      <c r="C12" s="9" t="n">
        <f aca="false">0.37/0.79</f>
        <v>0.468354430379747</v>
      </c>
      <c r="D12" s="9" t="n">
        <f aca="false">0.11/2.3</f>
        <v>0.0478260869565217</v>
      </c>
      <c r="E12" s="9" t="n">
        <v>1</v>
      </c>
      <c r="F12" s="9" t="n">
        <v>1</v>
      </c>
      <c r="G12" s="18" t="n">
        <f aca="false">B12*m</f>
        <v>1.54411764705882E-006</v>
      </c>
      <c r="H12" s="9" t="n">
        <v>1</v>
      </c>
      <c r="I12" s="9" t="n">
        <v>1</v>
      </c>
      <c r="J12" s="9" t="n">
        <v>1</v>
      </c>
      <c r="K12" s="9" t="n">
        <v>1</v>
      </c>
      <c r="L12" s="9" t="n">
        <v>1</v>
      </c>
      <c r="M12" s="17" t="n">
        <f aca="false">348/56</f>
        <v>6.21428571428571</v>
      </c>
      <c r="N12" s="9" t="n">
        <v>1</v>
      </c>
      <c r="O12" s="10" t="n">
        <v>1</v>
      </c>
    </row>
    <row r="13" customFormat="false" ht="16.5" hidden="false" customHeight="true" outlineLevel="0" collapsed="false">
      <c r="A13" s="8" t="s">
        <v>26</v>
      </c>
      <c r="B13" s="11" t="n">
        <f aca="false">1.2/2.1</f>
        <v>0.571428571428571</v>
      </c>
      <c r="C13" s="11" t="n">
        <f aca="false">4.8/1.2</f>
        <v>4</v>
      </c>
      <c r="D13" s="11" t="n">
        <f aca="false">0.2/0.9</f>
        <v>0.222222222222222</v>
      </c>
      <c r="E13" s="14" t="n">
        <v>1</v>
      </c>
      <c r="F13" s="14" t="n">
        <v>1</v>
      </c>
      <c r="G13" s="12" t="n">
        <f aca="false">B13*m</f>
        <v>3.33333333333333E-005</v>
      </c>
      <c r="H13" s="11" t="n">
        <f aca="false">15.8/8.9</f>
        <v>1.7752808988764</v>
      </c>
      <c r="I13" s="11" t="n">
        <f aca="false">8/7.8</f>
        <v>1.02564102564103</v>
      </c>
      <c r="J13" s="14" t="n">
        <v>1</v>
      </c>
      <c r="K13" s="14" t="n">
        <v>1</v>
      </c>
      <c r="L13" s="11" t="n">
        <f aca="false">7/7.2</f>
        <v>0.972222222222222</v>
      </c>
      <c r="M13" s="14" t="n">
        <v>1</v>
      </c>
      <c r="N13" s="14" t="n">
        <v>1</v>
      </c>
      <c r="O13" s="10" t="n">
        <v>1</v>
      </c>
    </row>
    <row r="14" customFormat="false" ht="16.5" hidden="false" customHeight="true" outlineLevel="0" collapsed="false">
      <c r="A14" s="8" t="s">
        <v>27</v>
      </c>
      <c r="B14" s="11" t="n">
        <f aca="false">0.05/2.1</f>
        <v>0.0238095238095238</v>
      </c>
      <c r="C14" s="11" t="n">
        <f aca="false">0.2/1.2</f>
        <v>0.166666666666667</v>
      </c>
      <c r="D14" s="11" t="n">
        <f aca="false">0.9/0.9</f>
        <v>1</v>
      </c>
      <c r="E14" s="9" t="n">
        <f aca="false">1.16/0.51</f>
        <v>2.27450980392157</v>
      </c>
      <c r="F14" s="9" t="n">
        <f aca="false">5.8/1.4</f>
        <v>4.14285714285714</v>
      </c>
      <c r="G14" s="12" t="n">
        <f aca="false">B14*m</f>
        <v>1.38888888888889E-006</v>
      </c>
      <c r="H14" s="11" t="n">
        <f aca="false">100/8.9</f>
        <v>11.2359550561798</v>
      </c>
      <c r="I14" s="11" t="n">
        <f aca="false">7.1/7.8</f>
        <v>0.91025641025641</v>
      </c>
      <c r="J14" s="9" t="n">
        <v>1</v>
      </c>
      <c r="K14" s="9" t="n">
        <v>1</v>
      </c>
      <c r="L14" s="11" t="n">
        <f aca="false">7.5/7.2</f>
        <v>1.04166666666667</v>
      </c>
      <c r="M14" s="17" t="n">
        <f aca="false">411/56</f>
        <v>7.33928571428571</v>
      </c>
      <c r="N14" s="9" t="n">
        <v>1</v>
      </c>
      <c r="O14" s="10" t="n">
        <v>1</v>
      </c>
    </row>
    <row r="15" customFormat="false" ht="16.5" hidden="false" customHeight="true" outlineLevel="0" collapsed="false">
      <c r="A15" s="8" t="s">
        <v>28</v>
      </c>
      <c r="B15" s="11" t="n">
        <f aca="false">1.1/2.1</f>
        <v>0.523809523809524</v>
      </c>
      <c r="C15" s="11" t="n">
        <f aca="false">2.5/1.2</f>
        <v>2.08333333333333</v>
      </c>
      <c r="D15" s="11" t="n">
        <f aca="false">0.8/0.9</f>
        <v>0.888888888888889</v>
      </c>
      <c r="E15" s="14" t="n">
        <v>1</v>
      </c>
      <c r="F15" s="14" t="n">
        <v>1</v>
      </c>
      <c r="G15" s="12" t="n">
        <f aca="false">B15*m</f>
        <v>3.05555555555556E-005</v>
      </c>
      <c r="H15" s="11" t="n">
        <f aca="false">26.6/8.9</f>
        <v>2.98876404494382</v>
      </c>
      <c r="I15" s="11" t="n">
        <f aca="false">8.2/7.8</f>
        <v>1.05128205128205</v>
      </c>
      <c r="J15" s="14" t="n">
        <v>1</v>
      </c>
      <c r="K15" s="14" t="n">
        <v>1</v>
      </c>
      <c r="L15" s="11" t="n">
        <f aca="false">7.7/7.2</f>
        <v>1.06944444444444</v>
      </c>
      <c r="M15" s="14" t="n">
        <v>1</v>
      </c>
      <c r="N15" s="14" t="n">
        <v>1</v>
      </c>
      <c r="O15" s="10" t="n">
        <v>1</v>
      </c>
    </row>
    <row r="16" customFormat="false" ht="16.5" hidden="false" customHeight="true" outlineLevel="0" collapsed="false">
      <c r="A16" s="8" t="s">
        <v>29</v>
      </c>
      <c r="B16" s="11" t="n">
        <f aca="false">1.9/2.1</f>
        <v>0.904761904761905</v>
      </c>
      <c r="C16" s="11" t="n">
        <f aca="false">1.6/1.2</f>
        <v>1.33333333333333</v>
      </c>
      <c r="D16" s="11" t="n">
        <f aca="false">6.3/0.9</f>
        <v>7</v>
      </c>
      <c r="E16" s="9" t="n">
        <v>1</v>
      </c>
      <c r="F16" s="9" t="n">
        <v>1</v>
      </c>
      <c r="G16" s="12" t="n">
        <f aca="false">B16*m</f>
        <v>5.27777777777778E-005</v>
      </c>
      <c r="H16" s="11" t="n">
        <f aca="false">5.2/8.9</f>
        <v>0.584269662921348</v>
      </c>
      <c r="I16" s="11" t="n">
        <f aca="false">7/7.8</f>
        <v>0.897435897435898</v>
      </c>
      <c r="J16" s="9" t="n">
        <v>1</v>
      </c>
      <c r="K16" s="9" t="n">
        <v>1</v>
      </c>
      <c r="L16" s="11" t="n">
        <f aca="false">7.4/7.2</f>
        <v>1.02777777777778</v>
      </c>
      <c r="M16" s="17" t="n">
        <f aca="false">129/56</f>
        <v>2.30357142857143</v>
      </c>
      <c r="N16" s="9" t="n">
        <v>1</v>
      </c>
      <c r="O16" s="10" t="n">
        <v>1</v>
      </c>
    </row>
    <row r="17" customFormat="false" ht="16.5" hidden="false" customHeight="true" outlineLevel="0" collapsed="false">
      <c r="A17" s="8" t="s">
        <v>30</v>
      </c>
      <c r="B17" s="11" t="n">
        <f aca="false">3.2/2.1</f>
        <v>1.52380952380952</v>
      </c>
      <c r="C17" s="11" t="n">
        <f aca="false">3.6/1.2</f>
        <v>3</v>
      </c>
      <c r="D17" s="11" t="n">
        <f aca="false">0.7/0.9</f>
        <v>0.777777777777778</v>
      </c>
      <c r="E17" s="9" t="n">
        <v>1</v>
      </c>
      <c r="F17" s="9" t="n">
        <v>1</v>
      </c>
      <c r="G17" s="12" t="n">
        <f aca="false">B17*m</f>
        <v>8.88888888888889E-005</v>
      </c>
      <c r="H17" s="11" t="n">
        <f aca="false">19.6/8.9</f>
        <v>2.20224719101124</v>
      </c>
      <c r="I17" s="11" t="n">
        <f aca="false">8.8/7.8</f>
        <v>1.12820512820513</v>
      </c>
      <c r="J17" s="9" t="n">
        <v>1</v>
      </c>
      <c r="K17" s="9" t="n">
        <v>1</v>
      </c>
      <c r="L17" s="11" t="n">
        <f aca="false">8.2/7.2</f>
        <v>1.13888888888889</v>
      </c>
      <c r="M17" s="9" t="n">
        <v>1</v>
      </c>
      <c r="N17" s="9" t="n">
        <v>1</v>
      </c>
      <c r="O17" s="10" t="n">
        <v>1</v>
      </c>
    </row>
    <row r="18" customFormat="false" ht="16.5" hidden="false" customHeight="true" outlineLevel="0" collapsed="false">
      <c r="A18" s="8" t="s">
        <v>31</v>
      </c>
      <c r="B18" s="11" t="n">
        <f aca="false">2/2.1</f>
        <v>0.952380952380952</v>
      </c>
      <c r="C18" s="11" t="n">
        <f aca="false">3.4/1.2</f>
        <v>2.83333333333333</v>
      </c>
      <c r="D18" s="11" t="n">
        <f aca="false">1.2/0.9</f>
        <v>1.33333333333333</v>
      </c>
      <c r="E18" s="9" t="n">
        <v>1</v>
      </c>
      <c r="F18" s="9" t="n">
        <v>1</v>
      </c>
      <c r="G18" s="12" t="n">
        <f aca="false">B18*m</f>
        <v>5.55555555555556E-005</v>
      </c>
      <c r="H18" s="11" t="n">
        <f aca="false">87/8.9</f>
        <v>9.77528089887641</v>
      </c>
      <c r="I18" s="11" t="n">
        <f aca="false">7.9/7.8</f>
        <v>1.01282051282051</v>
      </c>
      <c r="J18" s="9" t="n">
        <v>1</v>
      </c>
      <c r="K18" s="9" t="n">
        <v>1</v>
      </c>
      <c r="L18" s="11" t="n">
        <f aca="false">7.4/7.2</f>
        <v>1.02777777777778</v>
      </c>
      <c r="M18" s="9" t="n">
        <v>1</v>
      </c>
      <c r="N18" s="9" t="n">
        <v>1</v>
      </c>
      <c r="O18" s="10" t="n">
        <v>1</v>
      </c>
    </row>
    <row r="19" customFormat="false" ht="16.5" hidden="false" customHeight="true" outlineLevel="0" collapsed="false">
      <c r="A19" s="8" t="s">
        <v>32</v>
      </c>
      <c r="B19" s="9" t="n">
        <f aca="false">1.83/20.93</f>
        <v>0.0874343048256092</v>
      </c>
      <c r="C19" s="9" t="n">
        <f aca="false">9.6/6.5</f>
        <v>1.47692307692308</v>
      </c>
      <c r="D19" s="9" t="n">
        <f aca="false">9.2/15</f>
        <v>0.613333333333333</v>
      </c>
      <c r="E19" s="9" t="n">
        <v>1</v>
      </c>
      <c r="F19" s="9" t="n">
        <v>1</v>
      </c>
      <c r="G19" s="16" t="n">
        <f aca="false">B19*m</f>
        <v>5.10033444816054E-006</v>
      </c>
      <c r="H19" s="9" t="n">
        <f aca="false">25/35</f>
        <v>0.714285714285714</v>
      </c>
      <c r="I19" s="9" t="n">
        <v>1</v>
      </c>
      <c r="J19" s="9" t="n">
        <v>1</v>
      </c>
      <c r="K19" s="9" t="n">
        <v>1</v>
      </c>
      <c r="L19" s="9" t="n">
        <v>1</v>
      </c>
      <c r="M19" s="9" t="n">
        <v>1</v>
      </c>
      <c r="N19" s="9" t="n">
        <v>1</v>
      </c>
      <c r="O19" s="10" t="n">
        <v>1</v>
      </c>
    </row>
    <row r="20" customFormat="false" ht="16.5" hidden="false" customHeight="true" outlineLevel="0" collapsed="false">
      <c r="A20" s="8" t="s">
        <v>33</v>
      </c>
      <c r="B20" s="9" t="n">
        <f aca="false">0.348/20.93</f>
        <v>0.0166268514094601</v>
      </c>
      <c r="C20" s="9" t="n">
        <f aca="false">9.1/6.5</f>
        <v>1.4</v>
      </c>
      <c r="D20" s="9" t="n">
        <f aca="false">9/15</f>
        <v>0.6</v>
      </c>
      <c r="E20" s="9" t="n">
        <v>1</v>
      </c>
      <c r="F20" s="9" t="n">
        <v>1</v>
      </c>
      <c r="G20" s="16" t="n">
        <f aca="false">B20*m</f>
        <v>9.69899665551839E-007</v>
      </c>
      <c r="H20" s="9" t="n">
        <f aca="false">2000/35</f>
        <v>57.1428571428571</v>
      </c>
      <c r="I20" s="9" t="n">
        <v>1</v>
      </c>
      <c r="J20" s="9" t="n">
        <v>1</v>
      </c>
      <c r="K20" s="9" t="n">
        <v>1</v>
      </c>
      <c r="L20" s="9" t="n">
        <v>1</v>
      </c>
      <c r="M20" s="9" t="n">
        <v>1</v>
      </c>
      <c r="N20" s="9" t="n">
        <v>1</v>
      </c>
      <c r="O20" s="10" t="n">
        <v>1</v>
      </c>
    </row>
    <row r="21" customFormat="false" ht="16.5" hidden="false" customHeight="true" outlineLevel="0" collapsed="false">
      <c r="A21" s="8" t="s">
        <v>34</v>
      </c>
      <c r="B21" s="9" t="n">
        <f aca="false">0.455/20.93</f>
        <v>0.0217391304347826</v>
      </c>
      <c r="C21" s="9" t="n">
        <f aca="false">16/6.5</f>
        <v>2.46153846153846</v>
      </c>
      <c r="D21" s="9" t="n">
        <f aca="false">16/15</f>
        <v>1.06666666666667</v>
      </c>
      <c r="E21" s="9" t="n">
        <f aca="false">1</f>
        <v>1</v>
      </c>
      <c r="F21" s="9" t="n">
        <v>1</v>
      </c>
      <c r="G21" s="16" t="n">
        <f aca="false">B21*m</f>
        <v>1.26811594202899E-006</v>
      </c>
      <c r="H21" s="9" t="n">
        <f aca="false">2/35</f>
        <v>0.0571428571428571</v>
      </c>
      <c r="I21" s="9" t="n">
        <v>1</v>
      </c>
      <c r="J21" s="9" t="n">
        <v>1</v>
      </c>
      <c r="K21" s="9" t="n">
        <v>1</v>
      </c>
      <c r="L21" s="9" t="n">
        <v>1</v>
      </c>
      <c r="M21" s="17" t="n">
        <f aca="false">134/56</f>
        <v>2.39285714285714</v>
      </c>
      <c r="N21" s="9" t="n">
        <v>1</v>
      </c>
      <c r="O21" s="10" t="n">
        <v>1</v>
      </c>
    </row>
    <row r="22" customFormat="false" ht="16.5" hidden="false" customHeight="true" outlineLevel="0" collapsed="false">
      <c r="A22" s="8" t="s">
        <v>35</v>
      </c>
      <c r="B22" s="9" t="n">
        <f aca="false">1.63/20.93</f>
        <v>0.0778786430960344</v>
      </c>
      <c r="C22" s="9" t="n">
        <f aca="false">6.8/6.5</f>
        <v>1.04615384615385</v>
      </c>
      <c r="D22" s="9" t="n">
        <f aca="false">19/15</f>
        <v>1.26666666666667</v>
      </c>
      <c r="E22" s="9" t="n">
        <f aca="false">1</f>
        <v>1</v>
      </c>
      <c r="F22" s="9" t="n">
        <v>1</v>
      </c>
      <c r="G22" s="16" t="n">
        <f aca="false">B22*m</f>
        <v>4.54292084726867E-006</v>
      </c>
      <c r="H22" s="9" t="n">
        <f aca="false">50/35</f>
        <v>1.42857142857143</v>
      </c>
      <c r="I22" s="9" t="n">
        <v>1</v>
      </c>
      <c r="J22" s="9" t="n">
        <v>1</v>
      </c>
      <c r="K22" s="9" t="n">
        <v>1</v>
      </c>
      <c r="L22" s="9" t="n">
        <v>1</v>
      </c>
      <c r="M22" s="9" t="n">
        <v>1</v>
      </c>
      <c r="N22" s="9" t="n">
        <v>1</v>
      </c>
      <c r="O22" s="10" t="n">
        <v>1</v>
      </c>
    </row>
    <row r="23" customFormat="false" ht="16.5" hidden="false" customHeight="true" outlineLevel="0" collapsed="false">
      <c r="A23" s="8" t="s">
        <v>36</v>
      </c>
      <c r="B23" s="9" t="n">
        <f aca="false">0.366/20.93</f>
        <v>0.0174868609651218</v>
      </c>
      <c r="C23" s="9" t="n">
        <f aca="false">7.4/6.5</f>
        <v>1.13846153846154</v>
      </c>
      <c r="D23" s="9" t="n">
        <f aca="false">6.7/15</f>
        <v>0.446666666666667</v>
      </c>
      <c r="E23" s="9" t="n">
        <v>1</v>
      </c>
      <c r="F23" s="9" t="n">
        <v>1</v>
      </c>
      <c r="G23" s="16" t="n">
        <f aca="false">B23*m</f>
        <v>1.02006688963211E-006</v>
      </c>
      <c r="H23" s="9" t="n">
        <f aca="false">1500/35</f>
        <v>42.8571428571429</v>
      </c>
      <c r="I23" s="9" t="n">
        <v>1</v>
      </c>
      <c r="J23" s="9" t="n">
        <v>1</v>
      </c>
      <c r="K23" s="9" t="n">
        <v>1</v>
      </c>
      <c r="L23" s="9" t="n">
        <v>1</v>
      </c>
      <c r="M23" s="9" t="n">
        <v>1</v>
      </c>
      <c r="N23" s="9" t="n">
        <v>1</v>
      </c>
      <c r="O23" s="10" t="n">
        <v>1</v>
      </c>
    </row>
    <row r="24" customFormat="false" ht="16.5" hidden="false" customHeight="true" outlineLevel="0" collapsed="false">
      <c r="A24" s="19" t="s">
        <v>37</v>
      </c>
      <c r="B24" s="20" t="n">
        <f aca="false">1.52/20.93</f>
        <v>0.0726230291447683</v>
      </c>
      <c r="C24" s="20" t="n">
        <f aca="false">6.5/6.5</f>
        <v>1</v>
      </c>
      <c r="D24" s="20" t="n">
        <f aca="false">12/15</f>
        <v>0.8</v>
      </c>
      <c r="E24" s="20" t="n">
        <f aca="false">1</f>
        <v>1</v>
      </c>
      <c r="F24" s="20" t="n">
        <v>1</v>
      </c>
      <c r="G24" s="21" t="n">
        <f aca="false">B24*m</f>
        <v>4.23634336677815E-006</v>
      </c>
      <c r="H24" s="20" t="n">
        <f aca="false">100/35</f>
        <v>2.85714285714286</v>
      </c>
      <c r="I24" s="20" t="n">
        <v>1</v>
      </c>
      <c r="J24" s="20" t="n">
        <v>1</v>
      </c>
      <c r="K24" s="20" t="n">
        <v>1</v>
      </c>
      <c r="L24" s="20" t="n">
        <v>1</v>
      </c>
      <c r="M24" s="20" t="n">
        <v>1</v>
      </c>
      <c r="N24" s="20" t="n">
        <v>1</v>
      </c>
      <c r="O24" s="10" t="n"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LibreOffice/24.2.7.2$Linux_X86_64 LibreOffice_project/420$Build-2</Application>
  <AppVersion>15.0000</AppVersion>
  <Company>GrapeCity, Inc.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2026-07-12T03:40:17Z</dcterms:created>
  <dc:creator/>
  <dc:description/>
  <dc:language>en-US</dc:language>
  <cp:lastModifiedBy/>
  <dcterms:modified xsi:type="dcterms:W3CDTF">2026-07-12T00:23:18Z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